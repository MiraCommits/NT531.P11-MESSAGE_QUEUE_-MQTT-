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HK5\1. ĐÁNH GIÁ HIỆU NĂNG\"/>
    </mc:Choice>
  </mc:AlternateContent>
  <xr:revisionPtr revIDLastSave="0" documentId="13_ncr:1_{14290507-EE0F-4CF6-8C64-65429726013B}" xr6:coauthVersionLast="47" xr6:coauthVersionMax="47" xr10:uidLastSave="{00000000-0000-0000-0000-000000000000}"/>
  <bookViews>
    <workbookView xWindow="-90" yWindow="0" windowWidth="12980" windowHeight="1537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5" i="1" l="1"/>
  <c r="F8" i="1"/>
  <c r="E13" i="1"/>
  <c r="E14" i="1"/>
  <c r="E15" i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2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" i="1"/>
  <c r="I27" i="1"/>
  <c r="I28" i="1"/>
  <c r="I29" i="1"/>
  <c r="I30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B8" i="1"/>
  <c r="E9" i="1" l="1"/>
  <c r="F16" i="1" s="1"/>
  <c r="F11" i="1" l="1"/>
  <c r="G11" i="1" s="1"/>
  <c r="F15" i="1"/>
  <c r="G15" i="1" s="1"/>
  <c r="F14" i="1"/>
  <c r="G14" i="1" s="1"/>
  <c r="F26" i="1"/>
  <c r="G26" i="1" s="1"/>
  <c r="F24" i="1"/>
  <c r="G24" i="1" s="1"/>
  <c r="F20" i="1"/>
  <c r="G20" i="1" s="1"/>
  <c r="F18" i="1"/>
  <c r="G18" i="1" s="1"/>
  <c r="F13" i="1"/>
  <c r="F12" i="1"/>
  <c r="G12" i="1" s="1"/>
  <c r="F23" i="1"/>
  <c r="I23" i="1" s="1"/>
  <c r="F22" i="1"/>
  <c r="G22" i="1" s="1"/>
  <c r="F21" i="1"/>
  <c r="G21" i="1" s="1"/>
  <c r="F25" i="1"/>
  <c r="G25" i="1" s="1"/>
  <c r="F19" i="1"/>
  <c r="G19" i="1" s="1"/>
  <c r="F17" i="1"/>
  <c r="H17" i="1" s="1"/>
  <c r="G13" i="1"/>
  <c r="I13" i="1"/>
  <c r="H13" i="1"/>
  <c r="I12" i="1"/>
  <c r="H12" i="1"/>
  <c r="G16" i="1"/>
  <c r="I16" i="1"/>
  <c r="H16" i="1"/>
  <c r="H26" i="1"/>
  <c r="I3" i="1" l="1"/>
  <c r="I26" i="1"/>
  <c r="G23" i="1"/>
  <c r="H23" i="1"/>
  <c r="H11" i="1"/>
  <c r="H15" i="1"/>
  <c r="I15" i="1"/>
  <c r="I11" i="1"/>
  <c r="I5" i="1"/>
  <c r="I4" i="1"/>
  <c r="I17" i="1"/>
  <c r="G17" i="1"/>
  <c r="G9" i="1" s="1"/>
  <c r="H19" i="1"/>
  <c r="I19" i="1"/>
  <c r="H25" i="1"/>
  <c r="I25" i="1"/>
  <c r="I21" i="1"/>
  <c r="H21" i="1"/>
  <c r="I22" i="1"/>
  <c r="H22" i="1"/>
  <c r="I20" i="1"/>
  <c r="H18" i="1"/>
  <c r="I18" i="1"/>
  <c r="H20" i="1"/>
  <c r="H14" i="1"/>
  <c r="I24" i="1"/>
  <c r="I14" i="1"/>
  <c r="H24" i="1"/>
  <c r="F7" i="1" l="1"/>
  <c r="I7" i="1" s="1"/>
  <c r="F3" i="1"/>
  <c r="F4" i="1"/>
</calcChain>
</file>

<file path=xl/sharedStrings.xml><?xml version="1.0" encoding="utf-8"?>
<sst xmlns="http://schemas.openxmlformats.org/spreadsheetml/2006/main" count="29" uniqueCount="29">
  <si>
    <t>Hàng đợi M/M/n/K/N</t>
  </si>
  <si>
    <t>Khởi tạo:</t>
  </si>
  <si>
    <t>A</t>
  </si>
  <si>
    <t>n</t>
  </si>
  <si>
    <t>K</t>
  </si>
  <si>
    <t>λ</t>
  </si>
  <si>
    <t>Output:</t>
  </si>
  <si>
    <t>P{im ser.}</t>
  </si>
  <si>
    <t>P{del.}</t>
  </si>
  <si>
    <t>P{loss}</t>
  </si>
  <si>
    <t>E{x}</t>
  </si>
  <si>
    <t>x</t>
  </si>
  <si>
    <t>q</t>
  </si>
  <si>
    <t>N (No. of custumers)</t>
  </si>
  <si>
    <t>tm (arrival time)</t>
  </si>
  <si>
    <t>λ_x</t>
  </si>
  <si>
    <t>μ_x</t>
  </si>
  <si>
    <t>T_x</t>
  </si>
  <si>
    <t>sum of Tx</t>
  </si>
  <si>
    <t>P_x</t>
  </si>
  <si>
    <t>λ_T</t>
  </si>
  <si>
    <t>P{x=K}</t>
  </si>
  <si>
    <t>P{n-1&lt;x&lt;K}</t>
  </si>
  <si>
    <t>P{x&lt;n}</t>
  </si>
  <si>
    <t>λ_x*P_x</t>
  </si>
  <si>
    <t>(x-n)*P(x)</t>
  </si>
  <si>
    <t>E{q|all state}</t>
  </si>
  <si>
    <t>E{q|queue exist}</t>
  </si>
  <si>
    <t>x*P(x)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</si>
</sst>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0000000000000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2" fontId="0" fillId="0" borderId="0" xfId="0" applyNumberFormat="1"/>
    <xf numFmtId="166" fontId="0" fillId="0" borderId="0" xfId="0" applyNumberFormat="1"/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1"/>
  <sheetViews>
    <sheetView tabSelected="1" zoomScaleNormal="100" workbookViewId="0">
      <selection activeCell="F7" sqref="F7"/>
    </sheetView>
  </sheetViews>
  <sheetFormatPr defaultRowHeight="14.5" x14ac:dyDescent="0.35"/>
  <cols>
    <col min="1" max="1" width="5.7265625" customWidth="1"/>
    <col min="2" max="2" width="4.36328125" customWidth="1"/>
    <col min="3" max="3" width="7.453125" customWidth="1"/>
    <col min="4" max="5" width="11.81640625" customWidth="1"/>
    <col min="6" max="6" width="24.6328125" customWidth="1"/>
    <col min="7" max="7" width="8.453125" hidden="1" customWidth="1"/>
    <col min="8" max="8" width="23" customWidth="1"/>
    <col min="9" max="9" width="12" bestFit="1" customWidth="1"/>
  </cols>
  <sheetData>
    <row r="1" spans="1:9" x14ac:dyDescent="0.35">
      <c r="A1" t="s">
        <v>0</v>
      </c>
    </row>
    <row r="2" spans="1:9" x14ac:dyDescent="0.35">
      <c r="A2" t="s">
        <v>1</v>
      </c>
      <c r="E2" t="s">
        <v>6</v>
      </c>
    </row>
    <row r="3" spans="1:9" x14ac:dyDescent="0.35">
      <c r="A3" t="s">
        <v>2</v>
      </c>
      <c r="B3">
        <v>4</v>
      </c>
      <c r="E3" t="s">
        <v>7</v>
      </c>
      <c r="F3" s="6">
        <f>SUMIF(A11:A111,"&lt;="&amp;($B$4-1),(G11:G111))/G9</f>
        <v>2.5319917206425798E-9</v>
      </c>
      <c r="H3" t="s">
        <v>21</v>
      </c>
      <c r="I3">
        <f>F26</f>
        <v>0.70905211688893288</v>
      </c>
    </row>
    <row r="4" spans="1:9" x14ac:dyDescent="0.35">
      <c r="A4" t="s">
        <v>3</v>
      </c>
      <c r="B4">
        <v>5</v>
      </c>
      <c r="E4" t="s">
        <v>8</v>
      </c>
      <c r="F4">
        <f>SUMIFS(G11:G111,A11:A111,"&gt;="&amp;($B$4),A11:A111,"&lt;="&amp;($B$6-1))/G9</f>
        <v>0.37013388234157579</v>
      </c>
      <c r="H4" t="s">
        <v>22</v>
      </c>
      <c r="I4">
        <f>SUM(F16:F25)</f>
        <v>0.29094788250325654</v>
      </c>
    </row>
    <row r="5" spans="1:9" x14ac:dyDescent="0.35">
      <c r="A5" t="s">
        <v>14</v>
      </c>
      <c r="B5">
        <v>3</v>
      </c>
      <c r="E5" t="s">
        <v>9</v>
      </c>
      <c r="F5">
        <f>(C26*F26)/G9</f>
        <v>0.62986611512643254</v>
      </c>
      <c r="H5" t="s">
        <v>23</v>
      </c>
      <c r="I5">
        <f>SUM(F11:F15)</f>
        <v>6.0781055718816784E-10</v>
      </c>
    </row>
    <row r="6" spans="1:9" x14ac:dyDescent="0.35">
      <c r="A6" t="s">
        <v>4</v>
      </c>
      <c r="B6">
        <v>15</v>
      </c>
    </row>
    <row r="7" spans="1:9" x14ac:dyDescent="0.35">
      <c r="A7" t="s">
        <v>13</v>
      </c>
      <c r="B7">
        <v>18</v>
      </c>
      <c r="E7" t="s">
        <v>26</v>
      </c>
      <c r="F7">
        <f>SUMIFS(H11:H111,A11:A111,"&gt;="&amp;($B$4+1),A11:A111,"&lt;="&amp;($B$6))</f>
        <v>9.6228436501449437</v>
      </c>
      <c r="H7" t="s">
        <v>27</v>
      </c>
      <c r="I7">
        <f>F7/SUMIFS(F11:F111,A11:A111,"&gt;="&amp;($B$4+1),A11:A111,"&lt;="&amp;($B$6))</f>
        <v>9.6228437172221746</v>
      </c>
    </row>
    <row r="8" spans="1:9" x14ac:dyDescent="0.35">
      <c r="A8" s="1" t="s">
        <v>5</v>
      </c>
      <c r="B8" s="5">
        <f>B3/B5</f>
        <v>1.3333333333333333</v>
      </c>
      <c r="E8" t="s">
        <v>10</v>
      </c>
      <c r="F8">
        <f>F7+B3</f>
        <v>13.622843650144944</v>
      </c>
    </row>
    <row r="9" spans="1:9" x14ac:dyDescent="0.35">
      <c r="D9" s="4" t="s">
        <v>18</v>
      </c>
      <c r="E9">
        <f>SUM(E11:E111)</f>
        <v>1378891811088659.5</v>
      </c>
      <c r="F9" s="3" t="s">
        <v>20</v>
      </c>
      <c r="G9">
        <f>SUMIFS(G11:G111,A11:A111,"&gt;="&amp;0,A11:A111,"&lt;="&amp;$B$6)</f>
        <v>4.502875134005933</v>
      </c>
    </row>
    <row r="10" spans="1:9" x14ac:dyDescent="0.35">
      <c r="A10" s="2" t="s">
        <v>11</v>
      </c>
      <c r="B10" s="2" t="s">
        <v>12</v>
      </c>
      <c r="C10" s="3" t="s">
        <v>15</v>
      </c>
      <c r="D10" s="3" t="s">
        <v>16</v>
      </c>
      <c r="E10" s="2" t="s">
        <v>17</v>
      </c>
      <c r="F10" s="2" t="s">
        <v>19</v>
      </c>
      <c r="G10" s="3" t="s">
        <v>24</v>
      </c>
      <c r="H10" s="3" t="s">
        <v>25</v>
      </c>
      <c r="I10" s="3" t="s">
        <v>28</v>
      </c>
    </row>
    <row r="11" spans="1:9" x14ac:dyDescent="0.35">
      <c r="A11">
        <v>0</v>
      </c>
      <c r="B11">
        <f>IF(A11&lt;$B$4,0,A11-$B$4)</f>
        <v>0</v>
      </c>
      <c r="C11">
        <f>IF($B$7=0,$B$8,IF(A11&lt;=$B$6,$B$8*($B$7-A11),0))</f>
        <v>24</v>
      </c>
      <c r="D11">
        <f>IF(A11&gt;$B$6,0,IF(A11&gt;$B$4,$B$4/$B$5,A11/$B$5))</f>
        <v>0</v>
      </c>
      <c r="E11">
        <v>1</v>
      </c>
      <c r="F11" s="6">
        <f>E11/$E$9</f>
        <v>7.2522005857042712E-16</v>
      </c>
      <c r="G11">
        <f>C11*F11</f>
        <v>1.7405281405690252E-14</v>
      </c>
      <c r="H11" s="6">
        <f>(A11-$B$4)*F11</f>
        <v>-3.6261002928521355E-15</v>
      </c>
      <c r="I11">
        <f>A11*F11</f>
        <v>0</v>
      </c>
    </row>
    <row r="12" spans="1:9" x14ac:dyDescent="0.35">
      <c r="A12">
        <v>1</v>
      </c>
      <c r="B12">
        <f t="shared" ref="B12:B75" si="0">IF(A12&lt;$B$4,0,A12-$B$4)</f>
        <v>0</v>
      </c>
      <c r="C12">
        <f t="shared" ref="C12:C75" si="1">IF($B$7=0,$B$8,IF(A12&lt;=$B$6,$B$8*($B$7-A12),0))</f>
        <v>22.666666666666664</v>
      </c>
      <c r="D12">
        <f t="shared" ref="D12:D75" si="2">IF(A12&gt;$B$6,0,IF(A12&gt;$B$4,$B$4/$B$5,A12/$B$5))</f>
        <v>0.33333333333333331</v>
      </c>
      <c r="E12">
        <f>IF(A12&gt;$B$6,0,IF(D12&lt;&gt;0,E11*((C11)/D12),0))</f>
        <v>72</v>
      </c>
      <c r="F12" s="6">
        <f t="shared" ref="F12:F26" si="3">E12/$E$9</f>
        <v>5.2215844217070755E-14</v>
      </c>
      <c r="G12">
        <f t="shared" ref="G12:G26" si="4">C12*F12</f>
        <v>1.183559135586937E-12</v>
      </c>
      <c r="H12" s="6">
        <f t="shared" ref="H12:H75" si="5">(A12-$B$4)*F12</f>
        <v>-2.0886337686828302E-13</v>
      </c>
      <c r="I12">
        <f t="shared" ref="I12:I30" si="6">A12*F12</f>
        <v>5.2215844217070755E-14</v>
      </c>
    </row>
    <row r="13" spans="1:9" x14ac:dyDescent="0.35">
      <c r="A13">
        <v>2</v>
      </c>
      <c r="B13">
        <f t="shared" si="0"/>
        <v>0</v>
      </c>
      <c r="C13">
        <f t="shared" si="1"/>
        <v>21.333333333333332</v>
      </c>
      <c r="D13">
        <f t="shared" si="2"/>
        <v>0.66666666666666663</v>
      </c>
      <c r="E13">
        <f t="shared" ref="E13:E76" si="7">IF(A13&gt;$B$6,0,IF(D13&lt;&gt;0,E12*((C12)/D13),0))</f>
        <v>2448</v>
      </c>
      <c r="F13" s="6">
        <f t="shared" si="3"/>
        <v>1.7753387033804057E-12</v>
      </c>
      <c r="G13">
        <f t="shared" si="4"/>
        <v>3.7873892338781984E-11</v>
      </c>
      <c r="H13" s="6">
        <f t="shared" si="5"/>
        <v>-5.3260161101412167E-12</v>
      </c>
      <c r="I13">
        <f t="shared" si="6"/>
        <v>3.5506774067608114E-12</v>
      </c>
    </row>
    <row r="14" spans="1:9" x14ac:dyDescent="0.35">
      <c r="A14">
        <v>3</v>
      </c>
      <c r="B14">
        <f t="shared" si="0"/>
        <v>0</v>
      </c>
      <c r="C14">
        <f t="shared" si="1"/>
        <v>20</v>
      </c>
      <c r="D14">
        <f t="shared" si="2"/>
        <v>1</v>
      </c>
      <c r="E14">
        <f t="shared" si="7"/>
        <v>52224</v>
      </c>
      <c r="F14" s="6">
        <f t="shared" si="3"/>
        <v>3.787389233878199E-11</v>
      </c>
      <c r="G14">
        <f t="shared" si="4"/>
        <v>7.5747784677563983E-10</v>
      </c>
      <c r="H14" s="6">
        <f t="shared" si="5"/>
        <v>-7.574778467756398E-11</v>
      </c>
      <c r="I14">
        <f t="shared" si="6"/>
        <v>1.1362167701634596E-10</v>
      </c>
    </row>
    <row r="15" spans="1:9" x14ac:dyDescent="0.35">
      <c r="A15">
        <v>4</v>
      </c>
      <c r="B15">
        <f t="shared" si="0"/>
        <v>0</v>
      </c>
      <c r="C15">
        <f t="shared" si="1"/>
        <v>18.666666666666664</v>
      </c>
      <c r="D15">
        <f t="shared" si="2"/>
        <v>1.3333333333333333</v>
      </c>
      <c r="E15">
        <f t="shared" si="7"/>
        <v>783360</v>
      </c>
      <c r="F15" s="6">
        <f t="shared" si="3"/>
        <v>5.6810838508172985E-10</v>
      </c>
      <c r="G15">
        <f t="shared" si="4"/>
        <v>1.0604689854858956E-8</v>
      </c>
      <c r="H15" s="6">
        <f t="shared" si="5"/>
        <v>-5.6810838508172985E-10</v>
      </c>
      <c r="I15">
        <f t="shared" si="6"/>
        <v>2.2724335403269194E-9</v>
      </c>
    </row>
    <row r="16" spans="1:9" x14ac:dyDescent="0.35">
      <c r="A16">
        <v>5</v>
      </c>
      <c r="B16">
        <f t="shared" si="0"/>
        <v>0</v>
      </c>
      <c r="C16">
        <f t="shared" si="1"/>
        <v>17.333333333333332</v>
      </c>
      <c r="D16">
        <f t="shared" si="2"/>
        <v>1.6666666666666667</v>
      </c>
      <c r="E16">
        <f t="shared" si="7"/>
        <v>8773631.9999999981</v>
      </c>
      <c r="F16" s="6">
        <f t="shared" si="3"/>
        <v>6.3628139129153721E-9</v>
      </c>
      <c r="G16">
        <f t="shared" si="4"/>
        <v>1.1028877449053311E-7</v>
      </c>
      <c r="H16" s="6">
        <f t="shared" si="5"/>
        <v>0</v>
      </c>
      <c r="I16">
        <f t="shared" si="6"/>
        <v>3.1814069564576862E-8</v>
      </c>
    </row>
    <row r="17" spans="1:9" x14ac:dyDescent="0.35">
      <c r="A17">
        <v>6</v>
      </c>
      <c r="B17">
        <f t="shared" si="0"/>
        <v>1</v>
      </c>
      <c r="C17">
        <f t="shared" si="1"/>
        <v>16</v>
      </c>
      <c r="D17">
        <f t="shared" si="2"/>
        <v>1.6666666666666667</v>
      </c>
      <c r="E17">
        <f t="shared" si="7"/>
        <v>91245772.799999967</v>
      </c>
      <c r="F17" s="6">
        <f t="shared" si="3"/>
        <v>6.6173264694319866E-8</v>
      </c>
      <c r="G17">
        <f t="shared" si="4"/>
        <v>1.0587722351091179E-6</v>
      </c>
      <c r="H17" s="6">
        <f t="shared" si="5"/>
        <v>6.6173264694319866E-8</v>
      </c>
      <c r="I17">
        <f t="shared" si="6"/>
        <v>3.970395881659192E-7</v>
      </c>
    </row>
    <row r="18" spans="1:9" x14ac:dyDescent="0.35">
      <c r="A18">
        <v>7</v>
      </c>
      <c r="B18">
        <f t="shared" si="0"/>
        <v>2</v>
      </c>
      <c r="C18">
        <f t="shared" si="1"/>
        <v>14.666666666666666</v>
      </c>
      <c r="D18">
        <f t="shared" si="2"/>
        <v>1.6666666666666667</v>
      </c>
      <c r="E18">
        <f t="shared" si="7"/>
        <v>875959418.87999964</v>
      </c>
      <c r="F18" s="6">
        <f t="shared" si="3"/>
        <v>6.3526334106547065E-7</v>
      </c>
      <c r="G18">
        <f t="shared" si="4"/>
        <v>9.3171956689602358E-6</v>
      </c>
      <c r="H18" s="6">
        <f t="shared" si="5"/>
        <v>1.2705266821309413E-6</v>
      </c>
      <c r="I18">
        <f t="shared" si="6"/>
        <v>4.4468433874582942E-6</v>
      </c>
    </row>
    <row r="19" spans="1:9" x14ac:dyDescent="0.35">
      <c r="A19">
        <v>8</v>
      </c>
      <c r="B19">
        <f t="shared" si="0"/>
        <v>3</v>
      </c>
      <c r="C19">
        <f t="shared" si="1"/>
        <v>13.333333333333332</v>
      </c>
      <c r="D19">
        <f t="shared" si="2"/>
        <v>1.6666666666666667</v>
      </c>
      <c r="E19">
        <f t="shared" si="7"/>
        <v>7708442886.1439962</v>
      </c>
      <c r="F19" s="6">
        <f t="shared" si="3"/>
        <v>5.5903174013761415E-6</v>
      </c>
      <c r="G19">
        <f t="shared" si="4"/>
        <v>7.4537565351681886E-5</v>
      </c>
      <c r="H19" s="6">
        <f t="shared" si="5"/>
        <v>1.6770952204128423E-5</v>
      </c>
      <c r="I19">
        <f t="shared" si="6"/>
        <v>4.4722539211009132E-5</v>
      </c>
    </row>
    <row r="20" spans="1:9" x14ac:dyDescent="0.35">
      <c r="A20">
        <v>9</v>
      </c>
      <c r="B20">
        <f t="shared" si="0"/>
        <v>4</v>
      </c>
      <c r="C20">
        <f t="shared" si="1"/>
        <v>12</v>
      </c>
      <c r="D20">
        <f t="shared" si="2"/>
        <v>1.6666666666666667</v>
      </c>
      <c r="E20">
        <f t="shared" si="7"/>
        <v>61667543089.151962</v>
      </c>
      <c r="F20" s="6">
        <f t="shared" si="3"/>
        <v>4.4722539211009125E-5</v>
      </c>
      <c r="G20">
        <f t="shared" si="4"/>
        <v>5.3667047053210953E-4</v>
      </c>
      <c r="H20" s="6">
        <f t="shared" si="5"/>
        <v>1.788901568440365E-4</v>
      </c>
      <c r="I20">
        <f t="shared" si="6"/>
        <v>4.0250285289908215E-4</v>
      </c>
    </row>
    <row r="21" spans="1:9" x14ac:dyDescent="0.35">
      <c r="A21">
        <v>10</v>
      </c>
      <c r="B21">
        <f t="shared" si="0"/>
        <v>5</v>
      </c>
      <c r="C21">
        <f t="shared" si="1"/>
        <v>10.666666666666666</v>
      </c>
      <c r="D21">
        <f t="shared" si="2"/>
        <v>1.6666666666666667</v>
      </c>
      <c r="E21">
        <f t="shared" si="7"/>
        <v>444006310241.8941</v>
      </c>
      <c r="F21" s="6">
        <f t="shared" si="3"/>
        <v>3.2200228231926567E-4</v>
      </c>
      <c r="G21">
        <f t="shared" si="4"/>
        <v>3.4346910114055004E-3</v>
      </c>
      <c r="H21" s="6">
        <f t="shared" si="5"/>
        <v>1.6100114115963284E-3</v>
      </c>
      <c r="I21">
        <f t="shared" si="6"/>
        <v>3.2200228231926567E-3</v>
      </c>
    </row>
    <row r="22" spans="1:9" x14ac:dyDescent="0.35">
      <c r="A22">
        <v>11</v>
      </c>
      <c r="B22">
        <f t="shared" si="0"/>
        <v>6</v>
      </c>
      <c r="C22">
        <f t="shared" si="1"/>
        <v>9.3333333333333321</v>
      </c>
      <c r="D22">
        <f t="shared" si="2"/>
        <v>1.6666666666666667</v>
      </c>
      <c r="E22">
        <f t="shared" si="7"/>
        <v>2841640385548.1221</v>
      </c>
      <c r="F22" s="6">
        <f t="shared" si="3"/>
        <v>2.0608146068433002E-3</v>
      </c>
      <c r="G22">
        <f t="shared" si="4"/>
        <v>1.92342696638708E-2</v>
      </c>
      <c r="H22" s="6">
        <f t="shared" si="5"/>
        <v>1.23648876410598E-2</v>
      </c>
      <c r="I22">
        <f t="shared" si="6"/>
        <v>2.2668960675276302E-2</v>
      </c>
    </row>
    <row r="23" spans="1:9" x14ac:dyDescent="0.35">
      <c r="A23">
        <v>12</v>
      </c>
      <c r="B23">
        <f t="shared" si="0"/>
        <v>7</v>
      </c>
      <c r="C23">
        <f t="shared" si="1"/>
        <v>8</v>
      </c>
      <c r="D23">
        <f t="shared" si="2"/>
        <v>1.6666666666666667</v>
      </c>
      <c r="E23">
        <f t="shared" si="7"/>
        <v>15913186159069.48</v>
      </c>
      <c r="F23" s="6">
        <f t="shared" si="3"/>
        <v>1.1540561798322479E-2</v>
      </c>
      <c r="G23">
        <f t="shared" si="4"/>
        <v>9.2324494386579831E-2</v>
      </c>
      <c r="H23" s="6">
        <f t="shared" si="5"/>
        <v>8.0783932588257348E-2</v>
      </c>
      <c r="I23">
        <f t="shared" si="6"/>
        <v>0.13848674157986973</v>
      </c>
    </row>
    <row r="24" spans="1:9" x14ac:dyDescent="0.35">
      <c r="A24">
        <v>13</v>
      </c>
      <c r="B24">
        <f t="shared" si="0"/>
        <v>8</v>
      </c>
      <c r="C24">
        <f t="shared" si="1"/>
        <v>6.6666666666666661</v>
      </c>
      <c r="D24">
        <f t="shared" si="2"/>
        <v>1.6666666666666667</v>
      </c>
      <c r="E24">
        <f t="shared" si="7"/>
        <v>76383293563533.5</v>
      </c>
      <c r="F24" s="6">
        <f t="shared" si="3"/>
        <v>5.5394696631947897E-2</v>
      </c>
      <c r="G24">
        <f t="shared" si="4"/>
        <v>0.36929797754631927</v>
      </c>
      <c r="H24" s="6">
        <f t="shared" si="5"/>
        <v>0.44315757305558318</v>
      </c>
      <c r="I24">
        <f t="shared" si="6"/>
        <v>0.7201310562153227</v>
      </c>
    </row>
    <row r="25" spans="1:9" x14ac:dyDescent="0.35">
      <c r="A25">
        <v>14</v>
      </c>
      <c r="B25">
        <f t="shared" si="0"/>
        <v>9</v>
      </c>
      <c r="C25">
        <f t="shared" si="1"/>
        <v>5.333333333333333</v>
      </c>
      <c r="D25">
        <f t="shared" si="2"/>
        <v>1.6666666666666667</v>
      </c>
      <c r="E25">
        <f t="shared" si="7"/>
        <v>305533174254133.94</v>
      </c>
      <c r="F25" s="6">
        <f t="shared" si="3"/>
        <v>0.22157878652779153</v>
      </c>
      <c r="G25">
        <f t="shared" si="4"/>
        <v>1.1817535281482214</v>
      </c>
      <c r="H25" s="6">
        <f t="shared" si="5"/>
        <v>1.9942090787501239</v>
      </c>
      <c r="I25">
        <f t="shared" si="6"/>
        <v>3.1021030113890813</v>
      </c>
    </row>
    <row r="26" spans="1:9" x14ac:dyDescent="0.35">
      <c r="A26">
        <v>15</v>
      </c>
      <c r="B26">
        <f t="shared" si="0"/>
        <v>10</v>
      </c>
      <c r="C26">
        <f t="shared" si="1"/>
        <v>4</v>
      </c>
      <c r="D26">
        <f t="shared" si="2"/>
        <v>1.6666666666666667</v>
      </c>
      <c r="E26">
        <f t="shared" si="7"/>
        <v>977706157613228.5</v>
      </c>
      <c r="F26" s="6">
        <f t="shared" si="3"/>
        <v>0.70905211688893288</v>
      </c>
      <c r="G26">
        <f t="shared" si="4"/>
        <v>2.8362084675557315</v>
      </c>
      <c r="H26" s="6">
        <f t="shared" si="5"/>
        <v>7.090521168889329</v>
      </c>
      <c r="I26">
        <f t="shared" si="6"/>
        <v>10.635781753333994</v>
      </c>
    </row>
    <row r="27" spans="1:9" x14ac:dyDescent="0.35">
      <c r="A27">
        <v>16</v>
      </c>
      <c r="B27">
        <f t="shared" si="0"/>
        <v>11</v>
      </c>
      <c r="C27">
        <f t="shared" si="1"/>
        <v>0</v>
      </c>
      <c r="D27">
        <f t="shared" si="2"/>
        <v>0</v>
      </c>
      <c r="E27">
        <f t="shared" si="7"/>
        <v>0</v>
      </c>
      <c r="F27">
        <v>0</v>
      </c>
      <c r="G27">
        <v>0</v>
      </c>
      <c r="H27">
        <f t="shared" si="5"/>
        <v>0</v>
      </c>
      <c r="I27">
        <f t="shared" si="6"/>
        <v>0</v>
      </c>
    </row>
    <row r="28" spans="1:9" x14ac:dyDescent="0.35">
      <c r="A28">
        <v>17</v>
      </c>
      <c r="B28">
        <f t="shared" si="0"/>
        <v>12</v>
      </c>
      <c r="C28">
        <f t="shared" si="1"/>
        <v>0</v>
      </c>
      <c r="D28">
        <f t="shared" si="2"/>
        <v>0</v>
      </c>
      <c r="E28">
        <f t="shared" si="7"/>
        <v>0</v>
      </c>
      <c r="F28">
        <v>0</v>
      </c>
      <c r="G28">
        <v>0</v>
      </c>
      <c r="H28">
        <f t="shared" si="5"/>
        <v>0</v>
      </c>
      <c r="I28">
        <f t="shared" si="6"/>
        <v>0</v>
      </c>
    </row>
    <row r="29" spans="1:9" x14ac:dyDescent="0.35">
      <c r="A29">
        <v>18</v>
      </c>
      <c r="B29">
        <f t="shared" si="0"/>
        <v>13</v>
      </c>
      <c r="C29">
        <f t="shared" si="1"/>
        <v>0</v>
      </c>
      <c r="D29">
        <f t="shared" si="2"/>
        <v>0</v>
      </c>
      <c r="E29">
        <f t="shared" si="7"/>
        <v>0</v>
      </c>
      <c r="F29">
        <v>0</v>
      </c>
      <c r="G29">
        <v>0</v>
      </c>
      <c r="H29">
        <f t="shared" si="5"/>
        <v>0</v>
      </c>
      <c r="I29">
        <f t="shared" si="6"/>
        <v>0</v>
      </c>
    </row>
    <row r="30" spans="1:9" x14ac:dyDescent="0.35">
      <c r="A30">
        <v>19</v>
      </c>
      <c r="B30">
        <f t="shared" si="0"/>
        <v>14</v>
      </c>
      <c r="C30">
        <f t="shared" si="1"/>
        <v>0</v>
      </c>
      <c r="D30">
        <f t="shared" si="2"/>
        <v>0</v>
      </c>
      <c r="E30">
        <f t="shared" si="7"/>
        <v>0</v>
      </c>
      <c r="F30">
        <v>0</v>
      </c>
      <c r="G30">
        <v>0</v>
      </c>
      <c r="H30">
        <f t="shared" si="5"/>
        <v>0</v>
      </c>
      <c r="I30">
        <f t="shared" si="6"/>
        <v>0</v>
      </c>
    </row>
    <row r="31" spans="1:9" x14ac:dyDescent="0.35">
      <c r="A31">
        <v>20</v>
      </c>
      <c r="B31">
        <f t="shared" si="0"/>
        <v>15</v>
      </c>
      <c r="C31">
        <f t="shared" si="1"/>
        <v>0</v>
      </c>
      <c r="D31">
        <f t="shared" si="2"/>
        <v>0</v>
      </c>
      <c r="E31">
        <f t="shared" si="7"/>
        <v>0</v>
      </c>
      <c r="F31">
        <v>0</v>
      </c>
      <c r="G31">
        <v>0</v>
      </c>
      <c r="H31">
        <f t="shared" si="5"/>
        <v>0</v>
      </c>
    </row>
    <row r="32" spans="1:9" x14ac:dyDescent="0.35">
      <c r="A32">
        <v>21</v>
      </c>
      <c r="B32">
        <f t="shared" si="0"/>
        <v>16</v>
      </c>
      <c r="C32">
        <f t="shared" si="1"/>
        <v>0</v>
      </c>
      <c r="D32">
        <f t="shared" si="2"/>
        <v>0</v>
      </c>
      <c r="E32">
        <f t="shared" si="7"/>
        <v>0</v>
      </c>
      <c r="F32">
        <v>0</v>
      </c>
      <c r="G32">
        <v>0</v>
      </c>
      <c r="H32">
        <f t="shared" si="5"/>
        <v>0</v>
      </c>
    </row>
    <row r="33" spans="1:8" x14ac:dyDescent="0.35">
      <c r="A33">
        <v>22</v>
      </c>
      <c r="B33">
        <f t="shared" si="0"/>
        <v>17</v>
      </c>
      <c r="C33">
        <f t="shared" si="1"/>
        <v>0</v>
      </c>
      <c r="D33">
        <f t="shared" si="2"/>
        <v>0</v>
      </c>
      <c r="E33">
        <f t="shared" si="7"/>
        <v>0</v>
      </c>
      <c r="F33">
        <v>0</v>
      </c>
      <c r="G33">
        <v>0</v>
      </c>
      <c r="H33">
        <f t="shared" si="5"/>
        <v>0</v>
      </c>
    </row>
    <row r="34" spans="1:8" x14ac:dyDescent="0.35">
      <c r="A34">
        <v>23</v>
      </c>
      <c r="B34">
        <f t="shared" si="0"/>
        <v>18</v>
      </c>
      <c r="C34">
        <f t="shared" si="1"/>
        <v>0</v>
      </c>
      <c r="D34">
        <f t="shared" si="2"/>
        <v>0</v>
      </c>
      <c r="E34">
        <f t="shared" si="7"/>
        <v>0</v>
      </c>
      <c r="F34">
        <v>0</v>
      </c>
      <c r="G34">
        <v>0</v>
      </c>
      <c r="H34">
        <f t="shared" si="5"/>
        <v>0</v>
      </c>
    </row>
    <row r="35" spans="1:8" x14ac:dyDescent="0.35">
      <c r="A35">
        <v>24</v>
      </c>
      <c r="B35">
        <f t="shared" si="0"/>
        <v>19</v>
      </c>
      <c r="C35">
        <f t="shared" si="1"/>
        <v>0</v>
      </c>
      <c r="D35">
        <f t="shared" si="2"/>
        <v>0</v>
      </c>
      <c r="E35">
        <f t="shared" si="7"/>
        <v>0</v>
      </c>
      <c r="F35">
        <v>0</v>
      </c>
      <c r="G35">
        <v>0</v>
      </c>
      <c r="H35">
        <f t="shared" si="5"/>
        <v>0</v>
      </c>
    </row>
    <row r="36" spans="1:8" x14ac:dyDescent="0.35">
      <c r="A36">
        <v>25</v>
      </c>
      <c r="B36">
        <f t="shared" si="0"/>
        <v>20</v>
      </c>
      <c r="C36">
        <f t="shared" si="1"/>
        <v>0</v>
      </c>
      <c r="D36">
        <f t="shared" si="2"/>
        <v>0</v>
      </c>
      <c r="E36">
        <f t="shared" si="7"/>
        <v>0</v>
      </c>
      <c r="F36">
        <v>0</v>
      </c>
      <c r="G36">
        <v>0</v>
      </c>
      <c r="H36">
        <f t="shared" si="5"/>
        <v>0</v>
      </c>
    </row>
    <row r="37" spans="1:8" x14ac:dyDescent="0.35">
      <c r="A37">
        <v>26</v>
      </c>
      <c r="B37">
        <f t="shared" si="0"/>
        <v>21</v>
      </c>
      <c r="C37">
        <f t="shared" si="1"/>
        <v>0</v>
      </c>
      <c r="D37">
        <f t="shared" si="2"/>
        <v>0</v>
      </c>
      <c r="E37">
        <f t="shared" si="7"/>
        <v>0</v>
      </c>
      <c r="F37">
        <v>0</v>
      </c>
      <c r="G37">
        <v>0</v>
      </c>
      <c r="H37">
        <f t="shared" si="5"/>
        <v>0</v>
      </c>
    </row>
    <row r="38" spans="1:8" x14ac:dyDescent="0.35">
      <c r="A38">
        <v>27</v>
      </c>
      <c r="B38">
        <f t="shared" si="0"/>
        <v>22</v>
      </c>
      <c r="C38">
        <f t="shared" si="1"/>
        <v>0</v>
      </c>
      <c r="D38">
        <f t="shared" si="2"/>
        <v>0</v>
      </c>
      <c r="E38">
        <f t="shared" si="7"/>
        <v>0</v>
      </c>
      <c r="F38">
        <v>0</v>
      </c>
      <c r="G38">
        <v>0</v>
      </c>
      <c r="H38">
        <f t="shared" si="5"/>
        <v>0</v>
      </c>
    </row>
    <row r="39" spans="1:8" x14ac:dyDescent="0.35">
      <c r="A39">
        <v>28</v>
      </c>
      <c r="B39">
        <f t="shared" si="0"/>
        <v>23</v>
      </c>
      <c r="C39">
        <f t="shared" si="1"/>
        <v>0</v>
      </c>
      <c r="D39">
        <f t="shared" si="2"/>
        <v>0</v>
      </c>
      <c r="E39">
        <f t="shared" si="7"/>
        <v>0</v>
      </c>
      <c r="F39">
        <v>0</v>
      </c>
      <c r="G39">
        <v>0</v>
      </c>
      <c r="H39">
        <f t="shared" si="5"/>
        <v>0</v>
      </c>
    </row>
    <row r="40" spans="1:8" x14ac:dyDescent="0.35">
      <c r="A40">
        <v>29</v>
      </c>
      <c r="B40">
        <f t="shared" si="0"/>
        <v>24</v>
      </c>
      <c r="C40">
        <f t="shared" si="1"/>
        <v>0</v>
      </c>
      <c r="D40">
        <f t="shared" si="2"/>
        <v>0</v>
      </c>
      <c r="E40">
        <f t="shared" si="7"/>
        <v>0</v>
      </c>
      <c r="F40">
        <v>0</v>
      </c>
      <c r="G40">
        <v>0</v>
      </c>
      <c r="H40">
        <f t="shared" si="5"/>
        <v>0</v>
      </c>
    </row>
    <row r="41" spans="1:8" x14ac:dyDescent="0.35">
      <c r="A41">
        <v>30</v>
      </c>
      <c r="B41">
        <f t="shared" si="0"/>
        <v>25</v>
      </c>
      <c r="C41">
        <f t="shared" si="1"/>
        <v>0</v>
      </c>
      <c r="D41">
        <f t="shared" si="2"/>
        <v>0</v>
      </c>
      <c r="E41">
        <f t="shared" si="7"/>
        <v>0</v>
      </c>
      <c r="F41">
        <v>0</v>
      </c>
      <c r="G41">
        <v>0</v>
      </c>
      <c r="H41">
        <f t="shared" si="5"/>
        <v>0</v>
      </c>
    </row>
    <row r="42" spans="1:8" x14ac:dyDescent="0.35">
      <c r="A42">
        <v>31</v>
      </c>
      <c r="B42">
        <f t="shared" si="0"/>
        <v>26</v>
      </c>
      <c r="C42">
        <f t="shared" si="1"/>
        <v>0</v>
      </c>
      <c r="D42">
        <f t="shared" si="2"/>
        <v>0</v>
      </c>
      <c r="E42">
        <f t="shared" si="7"/>
        <v>0</v>
      </c>
      <c r="F42">
        <v>0</v>
      </c>
      <c r="G42">
        <v>0</v>
      </c>
      <c r="H42">
        <f t="shared" si="5"/>
        <v>0</v>
      </c>
    </row>
    <row r="43" spans="1:8" x14ac:dyDescent="0.35">
      <c r="A43">
        <v>32</v>
      </c>
      <c r="B43">
        <f t="shared" si="0"/>
        <v>27</v>
      </c>
      <c r="C43">
        <f t="shared" si="1"/>
        <v>0</v>
      </c>
      <c r="D43">
        <f t="shared" si="2"/>
        <v>0</v>
      </c>
      <c r="E43">
        <f t="shared" si="7"/>
        <v>0</v>
      </c>
      <c r="F43">
        <v>0</v>
      </c>
      <c r="G43">
        <v>0</v>
      </c>
      <c r="H43">
        <f t="shared" si="5"/>
        <v>0</v>
      </c>
    </row>
    <row r="44" spans="1:8" x14ac:dyDescent="0.35">
      <c r="A44">
        <v>33</v>
      </c>
      <c r="B44">
        <f t="shared" si="0"/>
        <v>28</v>
      </c>
      <c r="C44">
        <f t="shared" si="1"/>
        <v>0</v>
      </c>
      <c r="D44">
        <f t="shared" si="2"/>
        <v>0</v>
      </c>
      <c r="E44">
        <f t="shared" si="7"/>
        <v>0</v>
      </c>
      <c r="F44">
        <v>0</v>
      </c>
      <c r="G44">
        <v>0</v>
      </c>
      <c r="H44">
        <f t="shared" si="5"/>
        <v>0</v>
      </c>
    </row>
    <row r="45" spans="1:8" x14ac:dyDescent="0.35">
      <c r="A45">
        <v>34</v>
      </c>
      <c r="B45">
        <f t="shared" si="0"/>
        <v>29</v>
      </c>
      <c r="C45">
        <f t="shared" si="1"/>
        <v>0</v>
      </c>
      <c r="D45">
        <f t="shared" si="2"/>
        <v>0</v>
      </c>
      <c r="E45">
        <f t="shared" si="7"/>
        <v>0</v>
      </c>
      <c r="F45">
        <v>0</v>
      </c>
      <c r="G45">
        <v>0</v>
      </c>
      <c r="H45">
        <f t="shared" si="5"/>
        <v>0</v>
      </c>
    </row>
    <row r="46" spans="1:8" x14ac:dyDescent="0.35">
      <c r="A46">
        <v>35</v>
      </c>
      <c r="B46">
        <f t="shared" si="0"/>
        <v>30</v>
      </c>
      <c r="C46">
        <f t="shared" si="1"/>
        <v>0</v>
      </c>
      <c r="D46">
        <f t="shared" si="2"/>
        <v>0</v>
      </c>
      <c r="E46">
        <f t="shared" si="7"/>
        <v>0</v>
      </c>
      <c r="F46">
        <v>0</v>
      </c>
      <c r="G46">
        <v>0</v>
      </c>
      <c r="H46">
        <f t="shared" si="5"/>
        <v>0</v>
      </c>
    </row>
    <row r="47" spans="1:8" x14ac:dyDescent="0.35">
      <c r="A47">
        <v>36</v>
      </c>
      <c r="B47">
        <f t="shared" si="0"/>
        <v>31</v>
      </c>
      <c r="C47">
        <f t="shared" si="1"/>
        <v>0</v>
      </c>
      <c r="D47">
        <f t="shared" si="2"/>
        <v>0</v>
      </c>
      <c r="E47">
        <f t="shared" si="7"/>
        <v>0</v>
      </c>
      <c r="F47">
        <v>0</v>
      </c>
      <c r="G47">
        <v>0</v>
      </c>
      <c r="H47">
        <f t="shared" si="5"/>
        <v>0</v>
      </c>
    </row>
    <row r="48" spans="1:8" x14ac:dyDescent="0.35">
      <c r="A48">
        <v>37</v>
      </c>
      <c r="B48">
        <f t="shared" si="0"/>
        <v>32</v>
      </c>
      <c r="C48">
        <f t="shared" si="1"/>
        <v>0</v>
      </c>
      <c r="D48">
        <f t="shared" si="2"/>
        <v>0</v>
      </c>
      <c r="E48">
        <f t="shared" si="7"/>
        <v>0</v>
      </c>
      <c r="F48">
        <v>0</v>
      </c>
      <c r="G48">
        <v>0</v>
      </c>
      <c r="H48">
        <f t="shared" si="5"/>
        <v>0</v>
      </c>
    </row>
    <row r="49" spans="1:8" x14ac:dyDescent="0.35">
      <c r="A49">
        <v>38</v>
      </c>
      <c r="B49">
        <f t="shared" si="0"/>
        <v>33</v>
      </c>
      <c r="C49">
        <f t="shared" si="1"/>
        <v>0</v>
      </c>
      <c r="D49">
        <f t="shared" si="2"/>
        <v>0</v>
      </c>
      <c r="E49">
        <f t="shared" si="7"/>
        <v>0</v>
      </c>
      <c r="F49">
        <v>0</v>
      </c>
      <c r="G49">
        <v>0</v>
      </c>
      <c r="H49">
        <f t="shared" si="5"/>
        <v>0</v>
      </c>
    </row>
    <row r="50" spans="1:8" x14ac:dyDescent="0.35">
      <c r="A50">
        <v>39</v>
      </c>
      <c r="B50">
        <f t="shared" si="0"/>
        <v>34</v>
      </c>
      <c r="C50">
        <f t="shared" si="1"/>
        <v>0</v>
      </c>
      <c r="D50">
        <f t="shared" si="2"/>
        <v>0</v>
      </c>
      <c r="E50">
        <f t="shared" si="7"/>
        <v>0</v>
      </c>
      <c r="F50">
        <v>0</v>
      </c>
      <c r="G50">
        <v>0</v>
      </c>
      <c r="H50">
        <f t="shared" si="5"/>
        <v>0</v>
      </c>
    </row>
    <row r="51" spans="1:8" x14ac:dyDescent="0.35">
      <c r="A51">
        <v>40</v>
      </c>
      <c r="B51">
        <f t="shared" si="0"/>
        <v>35</v>
      </c>
      <c r="C51">
        <f t="shared" si="1"/>
        <v>0</v>
      </c>
      <c r="D51">
        <f t="shared" si="2"/>
        <v>0</v>
      </c>
      <c r="E51">
        <f t="shared" si="7"/>
        <v>0</v>
      </c>
      <c r="F51">
        <v>0</v>
      </c>
      <c r="G51">
        <v>0</v>
      </c>
      <c r="H51">
        <f t="shared" si="5"/>
        <v>0</v>
      </c>
    </row>
    <row r="52" spans="1:8" x14ac:dyDescent="0.35">
      <c r="A52">
        <v>41</v>
      </c>
      <c r="B52">
        <f t="shared" si="0"/>
        <v>36</v>
      </c>
      <c r="C52">
        <f t="shared" si="1"/>
        <v>0</v>
      </c>
      <c r="D52">
        <f t="shared" si="2"/>
        <v>0</v>
      </c>
      <c r="E52">
        <f t="shared" si="7"/>
        <v>0</v>
      </c>
      <c r="F52">
        <v>0</v>
      </c>
      <c r="G52">
        <v>0</v>
      </c>
      <c r="H52">
        <f t="shared" si="5"/>
        <v>0</v>
      </c>
    </row>
    <row r="53" spans="1:8" x14ac:dyDescent="0.35">
      <c r="A53">
        <v>42</v>
      </c>
      <c r="B53">
        <f t="shared" si="0"/>
        <v>37</v>
      </c>
      <c r="C53">
        <f t="shared" si="1"/>
        <v>0</v>
      </c>
      <c r="D53">
        <f t="shared" si="2"/>
        <v>0</v>
      </c>
      <c r="E53">
        <f t="shared" si="7"/>
        <v>0</v>
      </c>
      <c r="F53">
        <v>0</v>
      </c>
      <c r="G53">
        <v>0</v>
      </c>
      <c r="H53">
        <f t="shared" si="5"/>
        <v>0</v>
      </c>
    </row>
    <row r="54" spans="1:8" x14ac:dyDescent="0.35">
      <c r="A54">
        <v>43</v>
      </c>
      <c r="B54">
        <f t="shared" si="0"/>
        <v>38</v>
      </c>
      <c r="C54">
        <f t="shared" si="1"/>
        <v>0</v>
      </c>
      <c r="D54">
        <f t="shared" si="2"/>
        <v>0</v>
      </c>
      <c r="E54">
        <f t="shared" si="7"/>
        <v>0</v>
      </c>
      <c r="F54">
        <v>0</v>
      </c>
      <c r="G54">
        <v>0</v>
      </c>
      <c r="H54">
        <f t="shared" si="5"/>
        <v>0</v>
      </c>
    </row>
    <row r="55" spans="1:8" x14ac:dyDescent="0.35">
      <c r="A55">
        <v>44</v>
      </c>
      <c r="B55">
        <f t="shared" si="0"/>
        <v>39</v>
      </c>
      <c r="C55">
        <f t="shared" si="1"/>
        <v>0</v>
      </c>
      <c r="D55">
        <f t="shared" si="2"/>
        <v>0</v>
      </c>
      <c r="E55">
        <f t="shared" si="7"/>
        <v>0</v>
      </c>
      <c r="F55">
        <v>0</v>
      </c>
      <c r="G55">
        <v>0</v>
      </c>
      <c r="H55">
        <f t="shared" si="5"/>
        <v>0</v>
      </c>
    </row>
    <row r="56" spans="1:8" x14ac:dyDescent="0.35">
      <c r="A56">
        <v>45</v>
      </c>
      <c r="B56">
        <f t="shared" si="0"/>
        <v>40</v>
      </c>
      <c r="C56">
        <f t="shared" si="1"/>
        <v>0</v>
      </c>
      <c r="D56">
        <f t="shared" si="2"/>
        <v>0</v>
      </c>
      <c r="E56">
        <f t="shared" si="7"/>
        <v>0</v>
      </c>
      <c r="F56">
        <v>0</v>
      </c>
      <c r="G56">
        <v>0</v>
      </c>
      <c r="H56">
        <f t="shared" si="5"/>
        <v>0</v>
      </c>
    </row>
    <row r="57" spans="1:8" x14ac:dyDescent="0.35">
      <c r="A57">
        <v>46</v>
      </c>
      <c r="B57">
        <f t="shared" si="0"/>
        <v>41</v>
      </c>
      <c r="C57">
        <f t="shared" si="1"/>
        <v>0</v>
      </c>
      <c r="D57">
        <f t="shared" si="2"/>
        <v>0</v>
      </c>
      <c r="E57">
        <f t="shared" si="7"/>
        <v>0</v>
      </c>
      <c r="F57">
        <v>0</v>
      </c>
      <c r="G57">
        <v>0</v>
      </c>
      <c r="H57">
        <f t="shared" si="5"/>
        <v>0</v>
      </c>
    </row>
    <row r="58" spans="1:8" x14ac:dyDescent="0.35">
      <c r="A58">
        <v>47</v>
      </c>
      <c r="B58">
        <f t="shared" si="0"/>
        <v>42</v>
      </c>
      <c r="C58">
        <f t="shared" si="1"/>
        <v>0</v>
      </c>
      <c r="D58">
        <f t="shared" si="2"/>
        <v>0</v>
      </c>
      <c r="E58">
        <f t="shared" si="7"/>
        <v>0</v>
      </c>
      <c r="F58">
        <v>0</v>
      </c>
      <c r="G58">
        <v>0</v>
      </c>
      <c r="H58">
        <f t="shared" si="5"/>
        <v>0</v>
      </c>
    </row>
    <row r="59" spans="1:8" x14ac:dyDescent="0.35">
      <c r="A59">
        <v>48</v>
      </c>
      <c r="B59">
        <f t="shared" si="0"/>
        <v>43</v>
      </c>
      <c r="C59">
        <f t="shared" si="1"/>
        <v>0</v>
      </c>
      <c r="D59">
        <f t="shared" si="2"/>
        <v>0</v>
      </c>
      <c r="E59">
        <f t="shared" si="7"/>
        <v>0</v>
      </c>
      <c r="F59">
        <v>0</v>
      </c>
      <c r="G59">
        <v>0</v>
      </c>
      <c r="H59">
        <f t="shared" si="5"/>
        <v>0</v>
      </c>
    </row>
    <row r="60" spans="1:8" x14ac:dyDescent="0.35">
      <c r="A60">
        <v>49</v>
      </c>
      <c r="B60">
        <f t="shared" si="0"/>
        <v>44</v>
      </c>
      <c r="C60">
        <f t="shared" si="1"/>
        <v>0</v>
      </c>
      <c r="D60">
        <f t="shared" si="2"/>
        <v>0</v>
      </c>
      <c r="E60">
        <f t="shared" si="7"/>
        <v>0</v>
      </c>
      <c r="F60">
        <v>0</v>
      </c>
      <c r="G60">
        <v>0</v>
      </c>
      <c r="H60">
        <f t="shared" si="5"/>
        <v>0</v>
      </c>
    </row>
    <row r="61" spans="1:8" x14ac:dyDescent="0.35">
      <c r="A61">
        <v>50</v>
      </c>
      <c r="B61">
        <f t="shared" si="0"/>
        <v>45</v>
      </c>
      <c r="C61">
        <f t="shared" si="1"/>
        <v>0</v>
      </c>
      <c r="D61">
        <f t="shared" si="2"/>
        <v>0</v>
      </c>
      <c r="E61">
        <f t="shared" si="7"/>
        <v>0</v>
      </c>
      <c r="F61">
        <v>0</v>
      </c>
      <c r="G61">
        <v>0</v>
      </c>
      <c r="H61">
        <f t="shared" si="5"/>
        <v>0</v>
      </c>
    </row>
    <row r="62" spans="1:8" x14ac:dyDescent="0.35">
      <c r="A62">
        <v>51</v>
      </c>
      <c r="B62">
        <f t="shared" si="0"/>
        <v>46</v>
      </c>
      <c r="C62">
        <f t="shared" si="1"/>
        <v>0</v>
      </c>
      <c r="D62">
        <f t="shared" si="2"/>
        <v>0</v>
      </c>
      <c r="E62">
        <f t="shared" si="7"/>
        <v>0</v>
      </c>
      <c r="F62">
        <v>0</v>
      </c>
      <c r="G62">
        <v>0</v>
      </c>
      <c r="H62">
        <f t="shared" si="5"/>
        <v>0</v>
      </c>
    </row>
    <row r="63" spans="1:8" x14ac:dyDescent="0.35">
      <c r="A63">
        <v>52</v>
      </c>
      <c r="B63">
        <f t="shared" si="0"/>
        <v>47</v>
      </c>
      <c r="C63">
        <f t="shared" si="1"/>
        <v>0</v>
      </c>
      <c r="D63">
        <f t="shared" si="2"/>
        <v>0</v>
      </c>
      <c r="E63">
        <f t="shared" si="7"/>
        <v>0</v>
      </c>
      <c r="F63">
        <v>0</v>
      </c>
      <c r="G63">
        <v>0</v>
      </c>
      <c r="H63">
        <f t="shared" si="5"/>
        <v>0</v>
      </c>
    </row>
    <row r="64" spans="1:8" x14ac:dyDescent="0.35">
      <c r="A64">
        <v>53</v>
      </c>
      <c r="B64">
        <f t="shared" si="0"/>
        <v>48</v>
      </c>
      <c r="C64">
        <f t="shared" si="1"/>
        <v>0</v>
      </c>
      <c r="D64">
        <f t="shared" si="2"/>
        <v>0</v>
      </c>
      <c r="E64">
        <f t="shared" si="7"/>
        <v>0</v>
      </c>
      <c r="F64">
        <v>0</v>
      </c>
      <c r="G64">
        <v>0</v>
      </c>
      <c r="H64">
        <f t="shared" si="5"/>
        <v>0</v>
      </c>
    </row>
    <row r="65" spans="1:8" x14ac:dyDescent="0.35">
      <c r="A65">
        <v>54</v>
      </c>
      <c r="B65">
        <f t="shared" si="0"/>
        <v>49</v>
      </c>
      <c r="C65">
        <f t="shared" si="1"/>
        <v>0</v>
      </c>
      <c r="D65">
        <f t="shared" si="2"/>
        <v>0</v>
      </c>
      <c r="E65">
        <f t="shared" si="7"/>
        <v>0</v>
      </c>
      <c r="F65">
        <v>0</v>
      </c>
      <c r="G65">
        <v>0</v>
      </c>
      <c r="H65">
        <f t="shared" si="5"/>
        <v>0</v>
      </c>
    </row>
    <row r="66" spans="1:8" x14ac:dyDescent="0.35">
      <c r="A66">
        <v>55</v>
      </c>
      <c r="B66">
        <f t="shared" si="0"/>
        <v>50</v>
      </c>
      <c r="C66">
        <f t="shared" si="1"/>
        <v>0</v>
      </c>
      <c r="D66">
        <f t="shared" si="2"/>
        <v>0</v>
      </c>
      <c r="E66">
        <f t="shared" si="7"/>
        <v>0</v>
      </c>
      <c r="F66">
        <v>0</v>
      </c>
      <c r="G66">
        <v>0</v>
      </c>
      <c r="H66">
        <f t="shared" si="5"/>
        <v>0</v>
      </c>
    </row>
    <row r="67" spans="1:8" x14ac:dyDescent="0.35">
      <c r="A67">
        <v>56</v>
      </c>
      <c r="B67">
        <f t="shared" si="0"/>
        <v>51</v>
      </c>
      <c r="C67">
        <f t="shared" si="1"/>
        <v>0</v>
      </c>
      <c r="D67">
        <f t="shared" si="2"/>
        <v>0</v>
      </c>
      <c r="E67">
        <f t="shared" si="7"/>
        <v>0</v>
      </c>
      <c r="F67">
        <v>0</v>
      </c>
      <c r="G67">
        <v>0</v>
      </c>
      <c r="H67">
        <f t="shared" si="5"/>
        <v>0</v>
      </c>
    </row>
    <row r="68" spans="1:8" x14ac:dyDescent="0.35">
      <c r="A68">
        <v>57</v>
      </c>
      <c r="B68">
        <f t="shared" si="0"/>
        <v>52</v>
      </c>
      <c r="C68">
        <f t="shared" si="1"/>
        <v>0</v>
      </c>
      <c r="D68">
        <f t="shared" si="2"/>
        <v>0</v>
      </c>
      <c r="E68">
        <f t="shared" si="7"/>
        <v>0</v>
      </c>
      <c r="F68">
        <v>0</v>
      </c>
      <c r="G68">
        <v>0</v>
      </c>
      <c r="H68">
        <f t="shared" si="5"/>
        <v>0</v>
      </c>
    </row>
    <row r="69" spans="1:8" x14ac:dyDescent="0.35">
      <c r="A69">
        <v>58</v>
      </c>
      <c r="B69">
        <f t="shared" si="0"/>
        <v>53</v>
      </c>
      <c r="C69">
        <f t="shared" si="1"/>
        <v>0</v>
      </c>
      <c r="D69">
        <f t="shared" si="2"/>
        <v>0</v>
      </c>
      <c r="E69">
        <f t="shared" si="7"/>
        <v>0</v>
      </c>
      <c r="F69">
        <v>0</v>
      </c>
      <c r="G69">
        <v>0</v>
      </c>
      <c r="H69">
        <f t="shared" si="5"/>
        <v>0</v>
      </c>
    </row>
    <row r="70" spans="1:8" x14ac:dyDescent="0.35">
      <c r="A70">
        <v>59</v>
      </c>
      <c r="B70">
        <f t="shared" si="0"/>
        <v>54</v>
      </c>
      <c r="C70">
        <f t="shared" si="1"/>
        <v>0</v>
      </c>
      <c r="D70">
        <f t="shared" si="2"/>
        <v>0</v>
      </c>
      <c r="E70">
        <f t="shared" si="7"/>
        <v>0</v>
      </c>
      <c r="F70">
        <v>0</v>
      </c>
      <c r="G70">
        <v>0</v>
      </c>
      <c r="H70">
        <f t="shared" si="5"/>
        <v>0</v>
      </c>
    </row>
    <row r="71" spans="1:8" x14ac:dyDescent="0.35">
      <c r="A71">
        <v>60</v>
      </c>
      <c r="B71">
        <f t="shared" si="0"/>
        <v>55</v>
      </c>
      <c r="C71">
        <f t="shared" si="1"/>
        <v>0</v>
      </c>
      <c r="D71">
        <f t="shared" si="2"/>
        <v>0</v>
      </c>
      <c r="E71">
        <f t="shared" si="7"/>
        <v>0</v>
      </c>
      <c r="F71">
        <v>0</v>
      </c>
      <c r="G71">
        <v>0</v>
      </c>
      <c r="H71">
        <f t="shared" si="5"/>
        <v>0</v>
      </c>
    </row>
    <row r="72" spans="1:8" x14ac:dyDescent="0.35">
      <c r="A72">
        <v>61</v>
      </c>
      <c r="B72">
        <f t="shared" si="0"/>
        <v>56</v>
      </c>
      <c r="C72">
        <f t="shared" si="1"/>
        <v>0</v>
      </c>
      <c r="D72">
        <f t="shared" si="2"/>
        <v>0</v>
      </c>
      <c r="E72">
        <f t="shared" si="7"/>
        <v>0</v>
      </c>
      <c r="F72">
        <v>0</v>
      </c>
      <c r="G72">
        <v>0</v>
      </c>
      <c r="H72">
        <f t="shared" si="5"/>
        <v>0</v>
      </c>
    </row>
    <row r="73" spans="1:8" x14ac:dyDescent="0.35">
      <c r="A73">
        <v>62</v>
      </c>
      <c r="B73">
        <f t="shared" si="0"/>
        <v>57</v>
      </c>
      <c r="C73">
        <f t="shared" si="1"/>
        <v>0</v>
      </c>
      <c r="D73">
        <f t="shared" si="2"/>
        <v>0</v>
      </c>
      <c r="E73">
        <f t="shared" si="7"/>
        <v>0</v>
      </c>
      <c r="F73">
        <v>0</v>
      </c>
      <c r="G73">
        <v>0</v>
      </c>
      <c r="H73">
        <f t="shared" si="5"/>
        <v>0</v>
      </c>
    </row>
    <row r="74" spans="1:8" x14ac:dyDescent="0.35">
      <c r="A74">
        <v>63</v>
      </c>
      <c r="B74">
        <f t="shared" si="0"/>
        <v>58</v>
      </c>
      <c r="C74">
        <f t="shared" si="1"/>
        <v>0</v>
      </c>
      <c r="D74">
        <f t="shared" si="2"/>
        <v>0</v>
      </c>
      <c r="E74">
        <f t="shared" si="7"/>
        <v>0</v>
      </c>
      <c r="F74">
        <v>0</v>
      </c>
      <c r="G74">
        <v>0</v>
      </c>
      <c r="H74">
        <f t="shared" si="5"/>
        <v>0</v>
      </c>
    </row>
    <row r="75" spans="1:8" x14ac:dyDescent="0.35">
      <c r="A75">
        <v>64</v>
      </c>
      <c r="B75">
        <f t="shared" si="0"/>
        <v>59</v>
      </c>
      <c r="C75">
        <f t="shared" si="1"/>
        <v>0</v>
      </c>
      <c r="D75">
        <f t="shared" si="2"/>
        <v>0</v>
      </c>
      <c r="E75">
        <f t="shared" si="7"/>
        <v>0</v>
      </c>
      <c r="F75">
        <v>0</v>
      </c>
      <c r="G75">
        <v>0</v>
      </c>
      <c r="H75">
        <f t="shared" si="5"/>
        <v>0</v>
      </c>
    </row>
    <row r="76" spans="1:8" x14ac:dyDescent="0.35">
      <c r="A76">
        <v>65</v>
      </c>
      <c r="B76">
        <f t="shared" ref="B76:B111" si="8">IF(A76&lt;$B$4,0,A76-$B$4)</f>
        <v>60</v>
      </c>
      <c r="C76">
        <f t="shared" ref="C76:C111" si="9">IF($B$7=0,$B$8,IF(A76&lt;=$B$6,$B$8*($B$7-A76),0))</f>
        <v>0</v>
      </c>
      <c r="D76">
        <f t="shared" ref="D76:D111" si="10">IF(A76&gt;$B$6,0,IF(A76&gt;$B$4,$B$4/$B$5,A76/$B$5))</f>
        <v>0</v>
      </c>
      <c r="E76">
        <f t="shared" si="7"/>
        <v>0</v>
      </c>
      <c r="F76">
        <v>0</v>
      </c>
      <c r="G76">
        <v>0</v>
      </c>
      <c r="H76">
        <f t="shared" ref="H76:H111" si="11">(A76-$B$4)*F76</f>
        <v>0</v>
      </c>
    </row>
    <row r="77" spans="1:8" x14ac:dyDescent="0.35">
      <c r="A77">
        <v>66</v>
      </c>
      <c r="B77">
        <f t="shared" si="8"/>
        <v>61</v>
      </c>
      <c r="C77">
        <f t="shared" si="9"/>
        <v>0</v>
      </c>
      <c r="D77">
        <f t="shared" si="10"/>
        <v>0</v>
      </c>
      <c r="E77">
        <f t="shared" ref="E77:E111" si="12">IF(A77&gt;$B$6,0,IF(D77&lt;&gt;0,E76*((C76)/D77),0))</f>
        <v>0</v>
      </c>
      <c r="F77">
        <v>0</v>
      </c>
      <c r="G77">
        <v>0</v>
      </c>
      <c r="H77">
        <f t="shared" si="11"/>
        <v>0</v>
      </c>
    </row>
    <row r="78" spans="1:8" x14ac:dyDescent="0.35">
      <c r="A78">
        <v>67</v>
      </c>
      <c r="B78">
        <f t="shared" si="8"/>
        <v>62</v>
      </c>
      <c r="C78">
        <f t="shared" si="9"/>
        <v>0</v>
      </c>
      <c r="D78">
        <f t="shared" si="10"/>
        <v>0</v>
      </c>
      <c r="E78">
        <f t="shared" si="12"/>
        <v>0</v>
      </c>
      <c r="F78">
        <v>0</v>
      </c>
      <c r="G78">
        <v>0</v>
      </c>
      <c r="H78">
        <f t="shared" si="11"/>
        <v>0</v>
      </c>
    </row>
    <row r="79" spans="1:8" x14ac:dyDescent="0.35">
      <c r="A79">
        <v>68</v>
      </c>
      <c r="B79">
        <f t="shared" si="8"/>
        <v>63</v>
      </c>
      <c r="C79">
        <f t="shared" si="9"/>
        <v>0</v>
      </c>
      <c r="D79">
        <f t="shared" si="10"/>
        <v>0</v>
      </c>
      <c r="E79">
        <f t="shared" si="12"/>
        <v>0</v>
      </c>
      <c r="F79">
        <v>0</v>
      </c>
      <c r="G79">
        <v>0</v>
      </c>
      <c r="H79">
        <f t="shared" si="11"/>
        <v>0</v>
      </c>
    </row>
    <row r="80" spans="1:8" x14ac:dyDescent="0.35">
      <c r="A80">
        <v>69</v>
      </c>
      <c r="B80">
        <f t="shared" si="8"/>
        <v>64</v>
      </c>
      <c r="C80">
        <f t="shared" si="9"/>
        <v>0</v>
      </c>
      <c r="D80">
        <f t="shared" si="10"/>
        <v>0</v>
      </c>
      <c r="E80">
        <f t="shared" si="12"/>
        <v>0</v>
      </c>
      <c r="F80">
        <v>0</v>
      </c>
      <c r="G80">
        <v>0</v>
      </c>
      <c r="H80">
        <f t="shared" si="11"/>
        <v>0</v>
      </c>
    </row>
    <row r="81" spans="1:8" x14ac:dyDescent="0.35">
      <c r="A81">
        <v>70</v>
      </c>
      <c r="B81">
        <f t="shared" si="8"/>
        <v>65</v>
      </c>
      <c r="C81">
        <f t="shared" si="9"/>
        <v>0</v>
      </c>
      <c r="D81">
        <f t="shared" si="10"/>
        <v>0</v>
      </c>
      <c r="E81">
        <f t="shared" si="12"/>
        <v>0</v>
      </c>
      <c r="F81">
        <v>0</v>
      </c>
      <c r="G81">
        <v>0</v>
      </c>
      <c r="H81">
        <f t="shared" si="11"/>
        <v>0</v>
      </c>
    </row>
    <row r="82" spans="1:8" x14ac:dyDescent="0.35">
      <c r="A82">
        <v>71</v>
      </c>
      <c r="B82">
        <f t="shared" si="8"/>
        <v>66</v>
      </c>
      <c r="C82">
        <f t="shared" si="9"/>
        <v>0</v>
      </c>
      <c r="D82">
        <f t="shared" si="10"/>
        <v>0</v>
      </c>
      <c r="E82">
        <f t="shared" si="12"/>
        <v>0</v>
      </c>
      <c r="F82">
        <v>0</v>
      </c>
      <c r="G82">
        <v>0</v>
      </c>
      <c r="H82">
        <f t="shared" si="11"/>
        <v>0</v>
      </c>
    </row>
    <row r="83" spans="1:8" x14ac:dyDescent="0.35">
      <c r="A83">
        <v>72</v>
      </c>
      <c r="B83">
        <f t="shared" si="8"/>
        <v>67</v>
      </c>
      <c r="C83">
        <f t="shared" si="9"/>
        <v>0</v>
      </c>
      <c r="D83">
        <f t="shared" si="10"/>
        <v>0</v>
      </c>
      <c r="E83">
        <f t="shared" si="12"/>
        <v>0</v>
      </c>
      <c r="F83">
        <v>0</v>
      </c>
      <c r="G83">
        <v>0</v>
      </c>
      <c r="H83">
        <f t="shared" si="11"/>
        <v>0</v>
      </c>
    </row>
    <row r="84" spans="1:8" x14ac:dyDescent="0.35">
      <c r="A84">
        <v>73</v>
      </c>
      <c r="B84">
        <f t="shared" si="8"/>
        <v>68</v>
      </c>
      <c r="C84">
        <f t="shared" si="9"/>
        <v>0</v>
      </c>
      <c r="D84">
        <f t="shared" si="10"/>
        <v>0</v>
      </c>
      <c r="E84">
        <f t="shared" si="12"/>
        <v>0</v>
      </c>
      <c r="F84">
        <v>0</v>
      </c>
      <c r="G84">
        <v>0</v>
      </c>
      <c r="H84">
        <f t="shared" si="11"/>
        <v>0</v>
      </c>
    </row>
    <row r="85" spans="1:8" x14ac:dyDescent="0.35">
      <c r="A85">
        <v>74</v>
      </c>
      <c r="B85">
        <f t="shared" si="8"/>
        <v>69</v>
      </c>
      <c r="C85">
        <f t="shared" si="9"/>
        <v>0</v>
      </c>
      <c r="D85">
        <f t="shared" si="10"/>
        <v>0</v>
      </c>
      <c r="E85">
        <f t="shared" si="12"/>
        <v>0</v>
      </c>
      <c r="F85">
        <v>0</v>
      </c>
      <c r="G85">
        <v>0</v>
      </c>
      <c r="H85">
        <f t="shared" si="11"/>
        <v>0</v>
      </c>
    </row>
    <row r="86" spans="1:8" x14ac:dyDescent="0.35">
      <c r="A86">
        <v>75</v>
      </c>
      <c r="B86">
        <f t="shared" si="8"/>
        <v>70</v>
      </c>
      <c r="C86">
        <f t="shared" si="9"/>
        <v>0</v>
      </c>
      <c r="D86">
        <f t="shared" si="10"/>
        <v>0</v>
      </c>
      <c r="E86">
        <f t="shared" si="12"/>
        <v>0</v>
      </c>
      <c r="F86">
        <v>0</v>
      </c>
      <c r="G86">
        <v>0</v>
      </c>
      <c r="H86">
        <f t="shared" si="11"/>
        <v>0</v>
      </c>
    </row>
    <row r="87" spans="1:8" x14ac:dyDescent="0.35">
      <c r="A87">
        <v>76</v>
      </c>
      <c r="B87">
        <f t="shared" si="8"/>
        <v>71</v>
      </c>
      <c r="C87">
        <f t="shared" si="9"/>
        <v>0</v>
      </c>
      <c r="D87">
        <f t="shared" si="10"/>
        <v>0</v>
      </c>
      <c r="E87">
        <f t="shared" si="12"/>
        <v>0</v>
      </c>
      <c r="F87">
        <v>0</v>
      </c>
      <c r="G87">
        <v>0</v>
      </c>
      <c r="H87">
        <f t="shared" si="11"/>
        <v>0</v>
      </c>
    </row>
    <row r="88" spans="1:8" x14ac:dyDescent="0.35">
      <c r="A88">
        <v>77</v>
      </c>
      <c r="B88">
        <f t="shared" si="8"/>
        <v>72</v>
      </c>
      <c r="C88">
        <f t="shared" si="9"/>
        <v>0</v>
      </c>
      <c r="D88">
        <f t="shared" si="10"/>
        <v>0</v>
      </c>
      <c r="E88">
        <f t="shared" si="12"/>
        <v>0</v>
      </c>
      <c r="F88">
        <v>0</v>
      </c>
      <c r="G88">
        <v>0</v>
      </c>
      <c r="H88">
        <f t="shared" si="11"/>
        <v>0</v>
      </c>
    </row>
    <row r="89" spans="1:8" x14ac:dyDescent="0.35">
      <c r="A89">
        <v>78</v>
      </c>
      <c r="B89">
        <f t="shared" si="8"/>
        <v>73</v>
      </c>
      <c r="C89">
        <f t="shared" si="9"/>
        <v>0</v>
      </c>
      <c r="D89">
        <f t="shared" si="10"/>
        <v>0</v>
      </c>
      <c r="E89">
        <f t="shared" si="12"/>
        <v>0</v>
      </c>
      <c r="F89">
        <v>0</v>
      </c>
      <c r="G89">
        <v>0</v>
      </c>
      <c r="H89">
        <f t="shared" si="11"/>
        <v>0</v>
      </c>
    </row>
    <row r="90" spans="1:8" x14ac:dyDescent="0.35">
      <c r="A90">
        <v>79</v>
      </c>
      <c r="B90">
        <f t="shared" si="8"/>
        <v>74</v>
      </c>
      <c r="C90">
        <f t="shared" si="9"/>
        <v>0</v>
      </c>
      <c r="D90">
        <f t="shared" si="10"/>
        <v>0</v>
      </c>
      <c r="E90">
        <f t="shared" si="12"/>
        <v>0</v>
      </c>
      <c r="F90">
        <v>0</v>
      </c>
      <c r="G90">
        <v>0</v>
      </c>
      <c r="H90">
        <f t="shared" si="11"/>
        <v>0</v>
      </c>
    </row>
    <row r="91" spans="1:8" x14ac:dyDescent="0.35">
      <c r="A91">
        <v>80</v>
      </c>
      <c r="B91">
        <f t="shared" si="8"/>
        <v>75</v>
      </c>
      <c r="C91">
        <f t="shared" si="9"/>
        <v>0</v>
      </c>
      <c r="D91">
        <f t="shared" si="10"/>
        <v>0</v>
      </c>
      <c r="E91">
        <f t="shared" si="12"/>
        <v>0</v>
      </c>
      <c r="F91">
        <v>0</v>
      </c>
      <c r="G91">
        <v>0</v>
      </c>
      <c r="H91">
        <f t="shared" si="11"/>
        <v>0</v>
      </c>
    </row>
    <row r="92" spans="1:8" x14ac:dyDescent="0.35">
      <c r="A92">
        <v>81</v>
      </c>
      <c r="B92">
        <f t="shared" si="8"/>
        <v>76</v>
      </c>
      <c r="C92">
        <f t="shared" si="9"/>
        <v>0</v>
      </c>
      <c r="D92">
        <f t="shared" si="10"/>
        <v>0</v>
      </c>
      <c r="E92">
        <f t="shared" si="12"/>
        <v>0</v>
      </c>
      <c r="F92">
        <v>0</v>
      </c>
      <c r="G92">
        <v>0</v>
      </c>
      <c r="H92">
        <f t="shared" si="11"/>
        <v>0</v>
      </c>
    </row>
    <row r="93" spans="1:8" x14ac:dyDescent="0.35">
      <c r="A93">
        <v>82</v>
      </c>
      <c r="B93">
        <f t="shared" si="8"/>
        <v>77</v>
      </c>
      <c r="C93">
        <f t="shared" si="9"/>
        <v>0</v>
      </c>
      <c r="D93">
        <f t="shared" si="10"/>
        <v>0</v>
      </c>
      <c r="E93">
        <f t="shared" si="12"/>
        <v>0</v>
      </c>
      <c r="F93">
        <v>0</v>
      </c>
      <c r="G93">
        <v>0</v>
      </c>
      <c r="H93">
        <f t="shared" si="11"/>
        <v>0</v>
      </c>
    </row>
    <row r="94" spans="1:8" x14ac:dyDescent="0.35">
      <c r="A94">
        <v>83</v>
      </c>
      <c r="B94">
        <f t="shared" si="8"/>
        <v>78</v>
      </c>
      <c r="C94">
        <f t="shared" si="9"/>
        <v>0</v>
      </c>
      <c r="D94">
        <f t="shared" si="10"/>
        <v>0</v>
      </c>
      <c r="E94">
        <f t="shared" si="12"/>
        <v>0</v>
      </c>
      <c r="F94">
        <v>0</v>
      </c>
      <c r="G94">
        <v>0</v>
      </c>
      <c r="H94">
        <f t="shared" si="11"/>
        <v>0</v>
      </c>
    </row>
    <row r="95" spans="1:8" x14ac:dyDescent="0.35">
      <c r="A95">
        <v>84</v>
      </c>
      <c r="B95">
        <f t="shared" si="8"/>
        <v>79</v>
      </c>
      <c r="C95">
        <f t="shared" si="9"/>
        <v>0</v>
      </c>
      <c r="D95">
        <f t="shared" si="10"/>
        <v>0</v>
      </c>
      <c r="E95">
        <f t="shared" si="12"/>
        <v>0</v>
      </c>
      <c r="F95">
        <v>0</v>
      </c>
      <c r="G95">
        <v>0</v>
      </c>
      <c r="H95">
        <f t="shared" si="11"/>
        <v>0</v>
      </c>
    </row>
    <row r="96" spans="1:8" x14ac:dyDescent="0.35">
      <c r="A96">
        <v>85</v>
      </c>
      <c r="B96">
        <f t="shared" si="8"/>
        <v>80</v>
      </c>
      <c r="C96">
        <f t="shared" si="9"/>
        <v>0</v>
      </c>
      <c r="D96">
        <f t="shared" si="10"/>
        <v>0</v>
      </c>
      <c r="E96">
        <f t="shared" si="12"/>
        <v>0</v>
      </c>
      <c r="F96">
        <v>0</v>
      </c>
      <c r="G96">
        <v>0</v>
      </c>
      <c r="H96">
        <f t="shared" si="11"/>
        <v>0</v>
      </c>
    </row>
    <row r="97" spans="1:8" x14ac:dyDescent="0.35">
      <c r="A97">
        <v>86</v>
      </c>
      <c r="B97">
        <f t="shared" si="8"/>
        <v>81</v>
      </c>
      <c r="C97">
        <f t="shared" si="9"/>
        <v>0</v>
      </c>
      <c r="D97">
        <f t="shared" si="10"/>
        <v>0</v>
      </c>
      <c r="E97">
        <f t="shared" si="12"/>
        <v>0</v>
      </c>
      <c r="F97">
        <v>0</v>
      </c>
      <c r="G97">
        <v>0</v>
      </c>
      <c r="H97">
        <f t="shared" si="11"/>
        <v>0</v>
      </c>
    </row>
    <row r="98" spans="1:8" x14ac:dyDescent="0.35">
      <c r="A98">
        <v>87</v>
      </c>
      <c r="B98">
        <f t="shared" si="8"/>
        <v>82</v>
      </c>
      <c r="C98">
        <f t="shared" si="9"/>
        <v>0</v>
      </c>
      <c r="D98">
        <f t="shared" si="10"/>
        <v>0</v>
      </c>
      <c r="E98">
        <f t="shared" si="12"/>
        <v>0</v>
      </c>
      <c r="F98">
        <v>0</v>
      </c>
      <c r="G98">
        <v>0</v>
      </c>
      <c r="H98">
        <f t="shared" si="11"/>
        <v>0</v>
      </c>
    </row>
    <row r="99" spans="1:8" x14ac:dyDescent="0.35">
      <c r="A99">
        <v>88</v>
      </c>
      <c r="B99">
        <f t="shared" si="8"/>
        <v>83</v>
      </c>
      <c r="C99">
        <f t="shared" si="9"/>
        <v>0</v>
      </c>
      <c r="D99">
        <f t="shared" si="10"/>
        <v>0</v>
      </c>
      <c r="E99">
        <f t="shared" si="12"/>
        <v>0</v>
      </c>
      <c r="F99">
        <v>0</v>
      </c>
      <c r="G99">
        <v>0</v>
      </c>
      <c r="H99">
        <f t="shared" si="11"/>
        <v>0</v>
      </c>
    </row>
    <row r="100" spans="1:8" x14ac:dyDescent="0.35">
      <c r="A100">
        <v>89</v>
      </c>
      <c r="B100">
        <f t="shared" si="8"/>
        <v>84</v>
      </c>
      <c r="C100">
        <f t="shared" si="9"/>
        <v>0</v>
      </c>
      <c r="D100">
        <f t="shared" si="10"/>
        <v>0</v>
      </c>
      <c r="E100">
        <f t="shared" si="12"/>
        <v>0</v>
      </c>
      <c r="F100">
        <v>0</v>
      </c>
      <c r="G100">
        <v>0</v>
      </c>
      <c r="H100">
        <f t="shared" si="11"/>
        <v>0</v>
      </c>
    </row>
    <row r="101" spans="1:8" x14ac:dyDescent="0.35">
      <c r="A101">
        <v>90</v>
      </c>
      <c r="B101">
        <f t="shared" si="8"/>
        <v>85</v>
      </c>
      <c r="C101">
        <f t="shared" si="9"/>
        <v>0</v>
      </c>
      <c r="D101">
        <f t="shared" si="10"/>
        <v>0</v>
      </c>
      <c r="E101">
        <f t="shared" si="12"/>
        <v>0</v>
      </c>
      <c r="F101">
        <v>0</v>
      </c>
      <c r="G101">
        <v>0</v>
      </c>
      <c r="H101">
        <f t="shared" si="11"/>
        <v>0</v>
      </c>
    </row>
    <row r="102" spans="1:8" x14ac:dyDescent="0.35">
      <c r="A102">
        <v>91</v>
      </c>
      <c r="B102">
        <f t="shared" si="8"/>
        <v>86</v>
      </c>
      <c r="C102">
        <f t="shared" si="9"/>
        <v>0</v>
      </c>
      <c r="D102">
        <f t="shared" si="10"/>
        <v>0</v>
      </c>
      <c r="E102">
        <f t="shared" si="12"/>
        <v>0</v>
      </c>
      <c r="F102">
        <v>0</v>
      </c>
      <c r="G102">
        <v>0</v>
      </c>
      <c r="H102">
        <f t="shared" si="11"/>
        <v>0</v>
      </c>
    </row>
    <row r="103" spans="1:8" x14ac:dyDescent="0.35">
      <c r="A103">
        <v>92</v>
      </c>
      <c r="B103">
        <f t="shared" si="8"/>
        <v>87</v>
      </c>
      <c r="C103">
        <f t="shared" si="9"/>
        <v>0</v>
      </c>
      <c r="D103">
        <f t="shared" si="10"/>
        <v>0</v>
      </c>
      <c r="E103">
        <f t="shared" si="12"/>
        <v>0</v>
      </c>
      <c r="F103">
        <v>0</v>
      </c>
      <c r="G103">
        <v>0</v>
      </c>
      <c r="H103">
        <f t="shared" si="11"/>
        <v>0</v>
      </c>
    </row>
    <row r="104" spans="1:8" x14ac:dyDescent="0.35">
      <c r="A104">
        <v>93</v>
      </c>
      <c r="B104">
        <f t="shared" si="8"/>
        <v>88</v>
      </c>
      <c r="C104">
        <f t="shared" si="9"/>
        <v>0</v>
      </c>
      <c r="D104">
        <f t="shared" si="10"/>
        <v>0</v>
      </c>
      <c r="E104">
        <f t="shared" si="12"/>
        <v>0</v>
      </c>
      <c r="F104">
        <v>0</v>
      </c>
      <c r="G104">
        <v>0</v>
      </c>
      <c r="H104">
        <f t="shared" si="11"/>
        <v>0</v>
      </c>
    </row>
    <row r="105" spans="1:8" x14ac:dyDescent="0.35">
      <c r="A105">
        <v>94</v>
      </c>
      <c r="B105">
        <f t="shared" si="8"/>
        <v>89</v>
      </c>
      <c r="C105">
        <f t="shared" si="9"/>
        <v>0</v>
      </c>
      <c r="D105">
        <f t="shared" si="10"/>
        <v>0</v>
      </c>
      <c r="E105">
        <f t="shared" si="12"/>
        <v>0</v>
      </c>
      <c r="F105">
        <v>0</v>
      </c>
      <c r="G105">
        <v>0</v>
      </c>
      <c r="H105">
        <f t="shared" si="11"/>
        <v>0</v>
      </c>
    </row>
    <row r="106" spans="1:8" x14ac:dyDescent="0.35">
      <c r="A106">
        <v>95</v>
      </c>
      <c r="B106">
        <f t="shared" si="8"/>
        <v>90</v>
      </c>
      <c r="C106">
        <f t="shared" si="9"/>
        <v>0</v>
      </c>
      <c r="D106">
        <f t="shared" si="10"/>
        <v>0</v>
      </c>
      <c r="E106">
        <f t="shared" si="12"/>
        <v>0</v>
      </c>
      <c r="F106">
        <v>0</v>
      </c>
      <c r="G106">
        <v>0</v>
      </c>
      <c r="H106">
        <f t="shared" si="11"/>
        <v>0</v>
      </c>
    </row>
    <row r="107" spans="1:8" x14ac:dyDescent="0.35">
      <c r="A107">
        <v>96</v>
      </c>
      <c r="B107">
        <f t="shared" si="8"/>
        <v>91</v>
      </c>
      <c r="C107">
        <f t="shared" si="9"/>
        <v>0</v>
      </c>
      <c r="D107">
        <f t="shared" si="10"/>
        <v>0</v>
      </c>
      <c r="E107">
        <f t="shared" si="12"/>
        <v>0</v>
      </c>
      <c r="F107">
        <v>0</v>
      </c>
      <c r="G107">
        <v>0</v>
      </c>
      <c r="H107">
        <f t="shared" si="11"/>
        <v>0</v>
      </c>
    </row>
    <row r="108" spans="1:8" x14ac:dyDescent="0.35">
      <c r="A108">
        <v>97</v>
      </c>
      <c r="B108">
        <f t="shared" si="8"/>
        <v>92</v>
      </c>
      <c r="C108">
        <f t="shared" si="9"/>
        <v>0</v>
      </c>
      <c r="D108">
        <f t="shared" si="10"/>
        <v>0</v>
      </c>
      <c r="E108">
        <f t="shared" si="12"/>
        <v>0</v>
      </c>
      <c r="F108">
        <v>0</v>
      </c>
      <c r="G108">
        <v>0</v>
      </c>
      <c r="H108">
        <f t="shared" si="11"/>
        <v>0</v>
      </c>
    </row>
    <row r="109" spans="1:8" x14ac:dyDescent="0.35">
      <c r="A109">
        <v>98</v>
      </c>
      <c r="B109">
        <f t="shared" si="8"/>
        <v>93</v>
      </c>
      <c r="C109">
        <f t="shared" si="9"/>
        <v>0</v>
      </c>
      <c r="D109">
        <f t="shared" si="10"/>
        <v>0</v>
      </c>
      <c r="E109">
        <f t="shared" si="12"/>
        <v>0</v>
      </c>
      <c r="F109">
        <v>0</v>
      </c>
      <c r="G109">
        <v>0</v>
      </c>
      <c r="H109">
        <f t="shared" si="11"/>
        <v>0</v>
      </c>
    </row>
    <row r="110" spans="1:8" x14ac:dyDescent="0.35">
      <c r="A110">
        <v>99</v>
      </c>
      <c r="B110">
        <f t="shared" si="8"/>
        <v>94</v>
      </c>
      <c r="C110">
        <f t="shared" si="9"/>
        <v>0</v>
      </c>
      <c r="D110">
        <f t="shared" si="10"/>
        <v>0</v>
      </c>
      <c r="E110">
        <f t="shared" si="12"/>
        <v>0</v>
      </c>
      <c r="F110">
        <v>0</v>
      </c>
      <c r="G110">
        <v>0</v>
      </c>
      <c r="H110">
        <f t="shared" si="11"/>
        <v>0</v>
      </c>
    </row>
    <row r="111" spans="1:8" x14ac:dyDescent="0.35">
      <c r="A111">
        <v>100</v>
      </c>
      <c r="B111">
        <f t="shared" si="8"/>
        <v>95</v>
      </c>
      <c r="C111">
        <f t="shared" si="9"/>
        <v>0</v>
      </c>
      <c r="D111">
        <f t="shared" si="10"/>
        <v>0</v>
      </c>
      <c r="E111">
        <f t="shared" si="12"/>
        <v>0</v>
      </c>
      <c r="F111">
        <v>0</v>
      </c>
      <c r="G111">
        <v>0</v>
      </c>
      <c r="H111">
        <f t="shared" si="11"/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Khanh Thuat</dc:creator>
  <cp:lastModifiedBy>Hồ Thị Huỳnh My</cp:lastModifiedBy>
  <dcterms:created xsi:type="dcterms:W3CDTF">2017-03-04T08:36:56Z</dcterms:created>
  <dcterms:modified xsi:type="dcterms:W3CDTF">2024-09-30T04:17:37Z</dcterms:modified>
</cp:coreProperties>
</file>